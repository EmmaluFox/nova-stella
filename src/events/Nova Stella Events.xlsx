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defaultThemeVersion="202300"/>
  <mc:AlternateContent xmlns:mc="http://schemas.openxmlformats.org/markup-compatibility/2006">
    <mc:Choice Requires="x15">
      <x15ac:absPath xmlns:x15ac="http://schemas.microsoft.com/office/spreadsheetml/2010/11/ac" url="/Users/emmalufox/Code/Nova Stella/nova-stella/src/events/"/>
    </mc:Choice>
  </mc:AlternateContent>
  <xr:revisionPtr revIDLastSave="0" documentId="13_ncr:1_{14CFFBBF-8192-7E49-A3DC-A14A4291EB7B}" xr6:coauthVersionLast="47" xr6:coauthVersionMax="47" xr10:uidLastSave="{00000000-0000-0000-0000-000000000000}"/>
  <bookViews>
    <workbookView xWindow="0" yWindow="760" windowWidth="30240" windowHeight="17440" xr2:uid="{6E1F4C7A-1D7E-924D-9EE1-8636AFCD4F36}"/>
  </bookViews>
  <sheets>
    <sheet name="Events" sheetId="1" r:id="rId1"/>
    <sheet name="Venu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14" i="1" l="1"/>
  <c r="N13" i="1"/>
  <c r="N3" i="1"/>
  <c r="N4" i="1"/>
  <c r="N5" i="1"/>
  <c r="N6" i="1"/>
  <c r="N7" i="1"/>
  <c r="N8" i="1"/>
  <c r="N9" i="1"/>
  <c r="N10" i="1"/>
  <c r="N11" i="1"/>
  <c r="N12" i="1"/>
</calcChain>
</file>

<file path=xl/sharedStrings.xml><?xml version="1.0" encoding="utf-8"?>
<sst xmlns="http://schemas.openxmlformats.org/spreadsheetml/2006/main" count="176" uniqueCount="116">
  <si>
    <t>Date</t>
  </si>
  <si>
    <t>Speaker</t>
  </si>
  <si>
    <t>Speaker Bio</t>
  </si>
  <si>
    <t>Talk Title</t>
  </si>
  <si>
    <t>Talk Blurb</t>
  </si>
  <si>
    <t>Arrive Time</t>
  </si>
  <si>
    <t>Start Time</t>
  </si>
  <si>
    <t>End Time</t>
  </si>
  <si>
    <t>Venue</t>
  </si>
  <si>
    <t>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t>
  </si>
  <si>
    <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t>
  </si>
  <si>
    <t>Grandmother Winter's House of Healing : A Trance Journey for Witches</t>
  </si>
  <si>
    <t>Sara Mastros</t>
  </si>
  <si>
    <t>Speaker Website</t>
  </si>
  <si>
    <t>The Angel</t>
  </si>
  <si>
    <t>https://www.eventbrite.com/e/sara-l-mastros-at-nova-stella-grandmother-winters-house-of-healing-tickets-1978850172134?aff=erelpanelorg#location</t>
  </si>
  <si>
    <t>Online Eventbrite Link</t>
  </si>
  <si>
    <t>In Person Eventbrite Link</t>
  </si>
  <si>
    <t>Address</t>
  </si>
  <si>
    <t>City</t>
  </si>
  <si>
    <t>Postcode</t>
  </si>
  <si>
    <t>73 City Road</t>
  </si>
  <si>
    <t>EC1Y 1BD</t>
  </si>
  <si>
    <t>London</t>
  </si>
  <si>
    <t>Event ID</t>
  </si>
  <si>
    <t>A1</t>
  </si>
  <si>
    <t>A2</t>
  </si>
  <si>
    <t>Professor Ronald Hutton</t>
  </si>
  <si>
    <t>Image Link</t>
  </si>
  <si>
    <t>Bridget: Goddess and Saint</t>
  </si>
  <si>
    <t>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t>
  </si>
  <si>
    <t>https://wegottickets.com/event/691754?fbclid=IwY2xjawQP4_tleHRuA2FlbQIxMABicmlkETBPeWhURkJxNlhIbU1TcWxEc3J0YwZhcHBfaWQQMjIyMDM5MTc4ODIwMDg5MgABHiJLZhqpOVHImtcp4HFVrgIbKw4Kc6HUBV90Rt_L0CMg0PA8AdLundRAOe_n_aem_BNIfRdYQ-4dtNug4Be8yCA</t>
  </si>
  <si>
    <t>https://wegottickets.com/sct/ktE7Csyr9F</t>
  </si>
  <si>
    <t>A3</t>
  </si>
  <si>
    <t>A4</t>
  </si>
  <si>
    <t>A5</t>
  </si>
  <si>
    <t>A6</t>
  </si>
  <si>
    <t>A7</t>
  </si>
  <si>
    <t>A8</t>
  </si>
  <si>
    <t>A9</t>
  </si>
  <si>
    <t>A10</t>
  </si>
  <si>
    <t>A11</t>
  </si>
  <si>
    <t>John Callow</t>
  </si>
  <si>
    <t>Sara Hannant</t>
  </si>
  <si>
    <t>Meggie Reid</t>
  </si>
  <si>
    <t>Caroline Wise</t>
  </si>
  <si>
    <t>Professor Patricia MacCormack</t>
  </si>
  <si>
    <t>TBC</t>
  </si>
  <si>
    <t>Jason Atomic</t>
  </si>
  <si>
    <t>Ruth Bayer</t>
  </si>
  <si>
    <t>Paul Bland</t>
  </si>
  <si>
    <t>Chaos Beyond Chaos: Queer Chaos and the Infinite World</t>
  </si>
  <si>
    <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t>
  </si>
  <si>
    <t>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t>
  </si>
  <si>
    <t>Talk Blurb Text</t>
  </si>
  <si>
    <t>www.johncallow.com</t>
  </si>
  <si>
    <t>www.witchlessons.com</t>
  </si>
  <si>
    <t>www.sarahannant.com</t>
  </si>
  <si>
    <t>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t>
  </si>
  <si>
    <t>https://megthewyrdo.square.site</t>
  </si>
  <si>
    <t>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t>
  </si>
  <si>
    <t>From London to Tokyo, New York or Berlin Jason Atomic is a familiar face in a variety of subcultures.
Despite a background in comix he discovered real life to be more interesting than fiction and began a documenting the freak icons of the underground art, music and club scenes in his colourful energetic paintings and sketchbooks.
Says Atomic:
"I’m obsessed with authenticity of line, I sketch from life &amp; don’t take my eye off the model while I’m drawing, i fix them with my stare and don't take my eyes away from them til the sketch is done. Meanwhile, my hand scratches away at my book like a robot spiderclaw.
One kid in Japan said "hebi ni niramaleta kaeru" which means basically that I reminded him of a snake mesmerising a frog... he was the frog.
"My approach to colour is more emotional, experimental, atmospheric. I love to splatter, splash and dribble, I love using layers of washes and varnishes to make the colours glow."
Atomic is the unofficial holder of the World land/speed record for portraiture, he regularly contributes text &amp; images to a variety of magazines including The Illustrated APE.</t>
  </si>
  <si>
    <t>https://jasonatomic.co.uk</t>
  </si>
  <si>
    <t>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t>
  </si>
  <si>
    <t>https://novastella.co.uk/wp-content/uploads/2026/03/A3.jpg</t>
  </si>
  <si>
    <t>https://novastella.co.uk/wp-content/uploads/2026/03/A4.jpg</t>
  </si>
  <si>
    <t>https://novastella.co.uk/wp-content/uploads/2026/03/A5.jpg</t>
  </si>
  <si>
    <t>https://novastella.co.uk/wp-content/uploads/2026/03/A6.jpg</t>
  </si>
  <si>
    <t>https://novastella.co.uk/wp-content/uploads/2026/03/A7.jpg</t>
  </si>
  <si>
    <t>https://novastella.co.uk/wp-content/uploads/2026/03/A8.jpg</t>
  </si>
  <si>
    <t>https://novastella.co.uk/wp-content/uploads/2026/03/A10.jpg</t>
  </si>
  <si>
    <t>https://novastella.co.uk/wp-content/uploads/2026/03/A11.jpg</t>
  </si>
  <si>
    <t>https://novastella.co.uk/wp-content/uploads/2026/02/A1.jpg</t>
  </si>
  <si>
    <t>https://novastella.co.uk/wp-content/uploads/2026/02/A2.jpg</t>
  </si>
  <si>
    <t>Rebecca Lambert</t>
  </si>
  <si>
    <t>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</si>
  <si>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https://practisesmakeplaces.wordpress.com</t>
  </si>
  <si>
    <t>Ponderings Upon Walking with Ghosts</t>
  </si>
  <si>
    <t>https://www.eventbrite.com/e/online-patricia-maccormack-queer-chaos-the-infinite-world-tickets-1984504871492?aff=oddtdtcreator&amp;fbclid=IwY2xjawQfoWtleHRuA2FlbQIxMQBzcnRjBmFwcF9pZBAyMjIwMzkxNzg4MjAwODkyAAEeYIM3RHLW9y5cg0iTiWUqgWtB4OPK5jj_EK0DvshCbMkVWKYyM72Fc1UA-_4_aem_gstUfejHGcXMN5YRsbUI5Q</t>
  </si>
  <si>
    <t>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t>
  </si>
  <si>
    <t>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</si>
  <si>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A12</t>
  </si>
  <si>
    <t>Deja Whitehouse</t>
  </si>
  <si>
    <t>A13</t>
  </si>
  <si>
    <t>Trefor Wickens</t>
  </si>
  <si>
    <t>74 City Road</t>
  </si>
  <si>
    <t>75 City Road</t>
  </si>
  <si>
    <t>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t>
  </si>
  <si>
    <t>Gerald Gardner: Myth and Magic</t>
  </si>
  <si>
    <t>https://www.eventbrite.com/e/john-callow-gerald-gardner-myth-and-magic-tickets-1986971043880?aff=oddtdtcreator</t>
  </si>
  <si>
    <t>https://www.eventbrite.com/e/online-only-john-callow-gerald-gardner-myth-and-magic-tickets-1987073311766?aff=oddtdtcreator</t>
  </si>
  <si>
    <t>Nightflights, Shapeshifting and Witches: A look at the use of astral projection in Historical and Contemporary Witchcraft</t>
  </si>
  <si>
    <t>https://www.eventbrite.com/e/nightflights-shapeshifting-and-witches-with-trefor-wickens-tickets-1988670411735?aff=oddtdtcreator#organizer-card</t>
  </si>
  <si>
    <t>https://www.eventbrite.com/e/online-only-nightflights-shapeshifting-and-witches-with-trefor-wickens-tickets-1989398144403?aff=erellivmlt</t>
  </si>
  <si>
    <t>https://novastella.co.uk/wp-content/uploads/2026/05/A13.jpg</t>
  </si>
  <si>
    <t>Promo Card URL</t>
  </si>
  <si>
    <t>https://novastella.co.uk/wp-content/uploads/2026/05/Trefor-Wickens.jpeg</t>
  </si>
  <si>
    <t>https://novastella.co.uk/wp-content/uploads/2026/05/Sara-Mastros.jpeg</t>
  </si>
  <si>
    <t>https://novastella.co.uk/wp-content/uploads/2026/05/Ronald-Hutton.jpeg</t>
  </si>
  <si>
    <t>https://novastella.co.uk/wp-content/uploads/2026/05/Patricia-MacCormack.jpeg</t>
  </si>
  <si>
    <t>https://novastella.co.uk/wp-content/uploads/2026/05/John-Callow.jpeg</t>
  </si>
  <si>
    <t>Come join us for a magical evening with dancing song, magic and story as we connect to our wild spirit during the midsummer solstice season. 
Dance to enchanting music with the runes inspired by a (more recent than traditional) magical practice. Connect to the elder Futhark runes through movement and channel that energy in alignment with your intention and for the community.
We will invite in the gods and spirits of the Northern Tradition, and cosy up to story and remembrance.
At this time of year, the height Sun is at its height - it's time to collect the resources that will keep us vibrant and strong through the months ahead!
More than ever our world needs light and healing, and a way to do that is to connect to our creative selves. Allow yourself to tune in and parts of your soul to guide you.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t>
  </si>
  <si>
    <t>https://www.eventbrite.com/e/dancing-with-wyrd-upstairs-at-the-angel-with-meggie-reid-tickets-1991279463479</t>
  </si>
  <si>
    <t>Dancing with Wyrd: Upstairs at the Angel with Meggie Reid</t>
  </si>
  <si>
    <t>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t>
  </si>
  <si>
    <t>A magical evening with dancing song, magic and story as we conneced to our wild spirit during the midsummer solstice season.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t>
  </si>
  <si>
    <t>Paul is a practicing witch of Kingfisher Coven, based in East London. His work is grounded in Wiccan thought and informed by a study of astrology, herbalism, and the tarot, with particular emphasis on their magical and spiritual applications. His practice focuses on the integration of celestial influences, plant lore, and divinatory systems within ritual and talismanic work.
Paul has presented a workshop at the 2026 Glastonbury Occult Conference and has lectured on Lunar Magic at Helgis Bar in Hackney, where he also co-devised and delivered an astrology course. His writing appears in Issue One of The Crooked Cauldron, published this year.</t>
  </si>
  <si>
    <t>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t>
  </si>
  <si>
    <t>https://www.eventbrite.com/e/pythia-of-the-brush-and-pen-upstairs-at-the-angel-with-caroline-wise-tickets-1992714488678?aff=ebemoffollowpublishemail&amp;ref=eemail&amp;utm_campaign=following_published_event&amp;utm_content=follow_notification&amp;utm_medium=email&amp;utm_source=eventbrite</t>
  </si>
  <si>
    <t>https://www.eventbrite.com/e/online-only-ponderings-upon-walking-with-ghosts-by-bec-lambert-tickets-1998377174925?utm_experiment=test_share_listing&amp;aff=ebdsshios&amp;sg=3a9344963f586bb31848276341f0f45d9b3096eb3ad1953bacc8f69429eeaa59c3beb21b979d4c5c9f15073b93f1b88dd84d968e76fc719d1733bfda7ef54ce1fdd6d5f0c0ffa5b6fa5792ac9e</t>
  </si>
  <si>
    <t>https://www.eventbrite.com/e/ponderings-upon-walking-with-ghosts-by-bec-lambert-tickets-1996978572668?aff=erelpanelorg</t>
  </si>
  <si>
    <t>https://www.eventbrite.com/e/online-only-occult-pop-by-jason-atomic-tickets-1999868840537?aff=oddtdtcreator</t>
  </si>
  <si>
    <t>https://www.eventbrite.com/e/occult-pop-by-jason-atomic-tickets-1999866891708?aff=oddtdtcreator</t>
  </si>
  <si>
    <t>An exploration of how pop culture and the occult shape each other, featuring research insights and untold stories behind the book.
Jason Atomic is a writer/artist with a lifelong interest in the occult and pop culture.
Since 2013 he has published the occult themed underground comics and zines under the Satanic Mojo banner and is the co-founder of London’s premier dark arts and crafts fair the Satanic Flea Market, where he can also be found trading in second hand comics and books from his collection.
He designed the Alexandrian Witchcraft logo for Maxine Sanders who also invited him to illustrate The Alex Sanders Lectures, his work can be found in the collections of the Museum of Witchcraft and Magic in Boscastle, The Satanic Temple’s Salem Gallery, The Buckland Museum of Witchcraft and Magick and The Museum of The Final Judgement in Rome.
His new book “Occult Pop” is a fully illustrated 'graphic compendium of magic’ which examines the ways that occult and pop culture have influenced each other over the years. It is due out from Aeon publishing in November.
A great lover of animals, when not immersed in counterculture and comix he volunteers at the Oxfordshire Wildlife Rescue and Oxford City Farm.</t>
  </si>
  <si>
    <t>Occult Pop</t>
  </si>
  <si>
    <t>https://novastella.co.uk/wp-content/uploads/2026/09/A9.jpg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</si>
</sst>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2"/>
      <color theme="1"/>
      <name val="Aptos Narrow"/>
      <family val="2"/>
      <scheme val="minor"/>
    </font>
    <font>
      <u/>
      <sz val="12"/>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theme="0" tint="-0.14999847407452621"/>
      </patternFill>
    </fill>
  </fills>
  <borders count="2">
    <border>
      <left/>
      <right/>
      <top/>
      <bottom/>
      <diagonal/>
    </border>
    <border>
      <left/>
      <right/>
      <top/>
      <bottom style="thin">
        <color theme="1"/>
      </bottom>
      <diagonal/>
    </border>
  </borders>
  <cellStyleXfs count="2">
    <xf numFmtId="0" fontId="0" fillId="0" borderId="0"/>
    <xf numFmtId="0" fontId="1" fillId="0" borderId="0" applyNumberFormat="0" applyFill="0" applyBorder="0" applyAlignment="0" applyProtection="0"/>
  </cellStyleXfs>
  <cellXfs count="15">
    <xf numFmtId="0" fontId="0" fillId="0" borderId="0" xfId="0"/>
    <xf numFmtId="49" fontId="0" fillId="0" borderId="0" xfId="0" applyNumberFormat="1"/>
    <xf numFmtId="14" fontId="0" fillId="0" borderId="0" xfId="0" applyNumberFormat="1"/>
    <xf numFmtId="164" fontId="0" fillId="0" borderId="0" xfId="0" applyNumberFormat="1"/>
    <xf numFmtId="0" fontId="0" fillId="2" borderId="1" xfId="0" applyFill="1" applyBorder="1"/>
    <xf numFmtId="0" fontId="0" fillId="2" borderId="1" xfId="0" applyFill="1" applyBorder="1" applyAlignment="1">
      <alignment wrapText="1"/>
    </xf>
    <xf numFmtId="14" fontId="0" fillId="0" borderId="0" xfId="0" applyNumberFormat="1" applyAlignment="1">
      <alignment horizontal="left" vertical="top"/>
    </xf>
    <xf numFmtId="164" fontId="0" fillId="0" borderId="0" xfId="0" applyNumberFormat="1" applyAlignment="1">
      <alignment horizontal="left" vertical="top"/>
    </xf>
    <xf numFmtId="0" fontId="0" fillId="0" borderId="0" xfId="0" applyAlignment="1">
      <alignment horizontal="left" vertical="top"/>
    </xf>
    <xf numFmtId="49" fontId="0" fillId="0" borderId="0" xfId="0" applyNumberFormat="1" applyAlignment="1">
      <alignment horizontal="left" vertical="top"/>
    </xf>
    <xf numFmtId="0" fontId="1" fillId="0" borderId="0" xfId="1" applyAlignment="1">
      <alignment horizontal="left" vertical="top"/>
    </xf>
    <xf numFmtId="49" fontId="1" fillId="0" borderId="0" xfId="1" applyNumberFormat="1" applyAlignment="1">
      <alignment horizontal="left" vertical="top"/>
    </xf>
    <xf numFmtId="0" fontId="1" fillId="0" borderId="0" xfId="1" applyBorder="1" applyAlignment="1">
      <alignment horizontal="left" vertical="top"/>
    </xf>
    <xf numFmtId="49" fontId="1" fillId="0" borderId="0" xfId="1" applyNumberFormat="1" applyBorder="1" applyAlignment="1">
      <alignment horizontal="left" vertical="top"/>
    </xf>
    <xf numFmtId="0" fontId="0" fillId="0" borderId="0" xfId="0" applyAlignment="1"/>
  </cellXfs>
  <cellStyles count="2">
    <cellStyle name="Hyperlink" xfId="1" builtinId="8"/>
    <cellStyle name="Normal" xfId="0" builtinId="0"/>
  </cellStyles>
  <dxfs count="22">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ill>
        <patternFill patternType="solid">
          <fgColor theme="0" tint="-0.14999847407452621"/>
          <bgColor theme="0" tint="-0.14999847407452621"/>
        </patternFill>
      </fill>
      <alignment horizontal="left" vertical="top" textRotation="0" wrapText="0" indent="0" justifyLastLine="0" shrinkToFit="0" readingOrder="0"/>
      <border diagonalUp="0" diagonalDown="0" outline="0">
        <left/>
        <right/>
        <top/>
        <bottom style="thin">
          <color theme="1"/>
        </bottom>
      </border>
    </dxf>
    <dxf>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alignment horizontal="general" vertical="bottom" textRotation="0" wrapText="1" indent="0" justifyLastLine="0" shrinkToFit="0" readingOrder="0"/>
      <border diagonalUp="0" diagonalDown="0">
        <left/>
        <right/>
        <top/>
        <bottom style="thin">
          <color theme="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border diagonalUp="0" diagonalDown="0">
        <left/>
        <right/>
        <top/>
        <bottom style="thin">
          <color theme="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3C7EEA-861F-0648-860E-4288085C343B}" name="Events" displayName="Events" ref="A1:S14" totalsRowShown="0" dataDxfId="0">
  <autoFilter ref="A1:S14" xr:uid="{5A3C7EEA-861F-0648-860E-4288085C343B}"/>
  <tableColumns count="19">
    <tableColumn id="15" xr3:uid="{1A267FE5-00D9-EE41-A946-67E71487E9AE}" name="Event ID" dataDxfId="19"/>
    <tableColumn id="1" xr3:uid="{987C7CDA-6291-CD44-9ADD-B7A34380859A}" name="Date" dataDxfId="18"/>
    <tableColumn id="2" xr3:uid="{207D8DD5-EED3-CB4C-8732-C23BDB11172D}" name="Arrive Time" dataDxfId="17"/>
    <tableColumn id="3" xr3:uid="{0561EFE7-A8CC-9947-9D5A-E1FA6EC2B8FD}" name="Start Time" dataDxfId="16"/>
    <tableColumn id="4" xr3:uid="{7519B68E-310D-144B-9A67-FB5EDCBE29E0}" name="End Time" dataDxfId="15"/>
    <tableColumn id="5" xr3:uid="{CC16EE71-04F2-024E-AA41-D13A019E8696}" name="Venue" dataDxfId="14"/>
    <tableColumn id="19" xr3:uid="{08408E33-3641-654C-8BDA-FA36AA27728A}" name="Address" dataDxfId="13"/>
    <tableColumn id="18" xr3:uid="{10784073-48BF-2A4C-8692-7D6B9A0F5E39}" name="City" dataDxfId="12"/>
    <tableColumn id="17" xr3:uid="{FD987A29-F69B-7A49-961F-8E7E4FFFC3F9}" name="Postcode" dataDxfId="11"/>
    <tableColumn id="7" xr3:uid="{A0678C9B-B30E-DB4E-B4E5-70CED2E94F23}" name="Speaker" dataDxfId="10"/>
    <tableColumn id="8" xr3:uid="{EE9D95B5-4CAF-7840-9B69-D80545E1C78C}" name="Speaker Bio" dataDxfId="9"/>
    <tableColumn id="9" xr3:uid="{212AF97D-2057-7D43-88D9-E0CE3C1634B0}" name="Speaker Website" dataDxfId="8"/>
    <tableColumn id="10" xr3:uid="{BC08696A-9796-EA4C-AE48-D871B744D793}" name="Talk Title" dataDxfId="7"/>
    <tableColumn id="11" xr3:uid="{AE0CCD02-01F4-E941-A639-F020519757FB}" name="Talk Blurb" dataDxfId="6">
      <calculatedColumnFormula>IF(Events[[#This Row],[Speaker]]="TBC","",IF(ISBLANK(Events[[#This Row],[Talk Blurb Text]]),_xlfn.CONCAT("Join us at the top floor of the Angel Pub in Shoreditch for an enlightening talk by ",Events[[#This Row],[Speaker]]," in convivial company.",CHAR(10),Events[[#This Row],[Speaker Bio]]),Events[[#This Row],[Talk Blurb Text]]))</calculatedColumnFormula>
    </tableColumn>
    <tableColumn id="12" xr3:uid="{C9CC2950-352B-8E4F-B8E2-418A618ECF42}" name="Online Eventbrite Link" dataDxfId="5" dataCellStyle="Hyperlink"/>
    <tableColumn id="13" xr3:uid="{53430355-0298-ED40-BD24-1289A5FB979E}" name="In Person Eventbrite Link" dataDxfId="4" dataCellStyle="Hyperlink"/>
    <tableColumn id="6" xr3:uid="{1F4D010D-3104-194F-8101-7B0B2D7C1337}" name="Image Link" dataDxfId="3"/>
    <tableColumn id="16" xr3:uid="{8D6EFA10-4D72-C54A-8F25-4F44753E8357}" name="Talk Blurb Text" dataDxfId="2"/>
    <tableColumn id="14" xr3:uid="{13FD559A-4BE5-D742-94E5-9F97642DB8DA}" name="Promo Card URL" dataDxfId="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9778DA-8132-8C49-89DC-E5F21D84FC74}" name="Venues" displayName="Venues" ref="A1:D2" totalsRowShown="0">
  <autoFilter ref="A1:D2" xr:uid="{359778DA-8132-8C49-89DC-E5F21D84FC74}"/>
  <tableColumns count="4">
    <tableColumn id="1" xr3:uid="{60E14D64-893D-D14A-A2C9-AB6E42B1CBF9}" name="Venue" dataDxfId="21"/>
    <tableColumn id="2" xr3:uid="{B3F615AE-3B53-CB4D-8FDC-019E5210F5F9}" name="Address" dataDxfId="20"/>
    <tableColumn id="3" xr3:uid="{AC0D4B0E-3E55-0D48-8815-09EB8A76B169}" name="City"/>
    <tableColumn id="4" xr3:uid="{44453495-F870-6945-AA25-1470637761EC}" name="Postcod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jasonatomic.co.uk/" TargetMode="External"/><Relationship Id="rId13" Type="http://schemas.openxmlformats.org/officeDocument/2006/relationships/hyperlink" Target="https://novastella.co.uk/wp-content/uploads/2026/09/A9.jpg" TargetMode="External"/><Relationship Id="rId3" Type="http://schemas.openxmlformats.org/officeDocument/2006/relationships/hyperlink" Targe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TargetMode="External"/><Relationship Id="rId7" Type="http://schemas.openxmlformats.org/officeDocument/2006/relationships/hyperlink" Target="https://megthewyrdo.square.site/" TargetMode="External"/><Relationship Id="rId12" Type="http://schemas.openxmlformats.org/officeDocument/2006/relationships/hyperlink" Target="https://www.eventbrite.com/e/occult-pop-by-jason-atomic-tickets-1999866891708?aff=oddtdtcreator" TargetMode="External"/><Relationship Id="rId2" Type="http://schemas.openxmlformats.org/officeDocument/2006/relationships/hyperlink" Target="https://www.eventbrite.com/e/sara-l-mastros-at-nova-stella-grandmother-winters-house-of-healing-tickets-1978850172134?aff=erelpanelorg" TargetMode="External"/><Relationship Id="rId1" Type="http://schemas.openxmlformats.org/officeDocument/2006/relationships/hyperlink" Targe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TargetMode="External"/><Relationship Id="rId6" Type="http://schemas.openxmlformats.org/officeDocument/2006/relationships/hyperlink" Target="http://www.sarahannant.com/" TargetMode="External"/><Relationship Id="rId11" Type="http://schemas.openxmlformats.org/officeDocument/2006/relationships/hyperlink" Target="https://www.eventbrite.com/e/online-only-occult-pop-by-jason-atomic-tickets-1999868840537?aff=oddtdtcreator" TargetMode="External"/><Relationship Id="rId5" Type="http://schemas.openxmlformats.org/officeDocument/2006/relationships/hyperlink" Target="http://www.johncallow.com/" TargetMode="External"/><Relationship Id="rId10" Type="http://schemas.openxmlformats.org/officeDocument/2006/relationships/hyperlink" Target="https://www.eventbrite.com/e/online-patricia-maccormack-queer-chaos-the-infinite-world-tickets-1984504871492?aff=oddtdtcreator&amp;fbclid=IwY2xjawQfoWtleHRuA2FlbQIxMQBzcnRjBmFwcF9pZBAyMjIwMzkxNzg4MjAwODkyAAEeYIM3RHLW9y5cg0iTiWUqgWtB4OPK5jj_EK0DvshCbMkVWKYyM72Fc1UA-_4_aem_gstUfejHGcXMN5YRsbUI5Q" TargetMode="External"/><Relationship Id="rId4" Type="http://schemas.openxmlformats.org/officeDocument/2006/relationships/hyperlink" Target="http://www.witchlessons.com/" TargetMode="External"/><Relationship Id="rId9" Type="http://schemas.openxmlformats.org/officeDocument/2006/relationships/hyperlink" Target="https://practisesmakeplaces.wordpress.com/"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7E5D0-4B5D-0046-BFEE-2BC5D6172FEE}">
  <sheetPr codeName="Sheet1"/>
  <dimension ref="A1:S14"/>
  <sheetViews>
    <sheetView tabSelected="1" topLeftCell="M1" workbookViewId="0">
      <selection activeCell="Q13" sqref="Q13"/>
    </sheetView>
  </sheetViews>
  <sheetFormatPr baseColWidth="10" defaultRowHeight="16" x14ac:dyDescent="0.2"/>
  <cols>
    <col min="1" max="1" width="10.1640625" style="2" customWidth="1"/>
    <col min="2" max="2" width="12.33203125" style="3" customWidth="1"/>
    <col min="3" max="3" width="11.6640625" style="3" customWidth="1"/>
    <col min="4" max="4" width="10.83203125" style="3"/>
    <col min="6" max="6" width="15.1640625" customWidth="1"/>
    <col min="8" max="8" width="13" style="1" customWidth="1"/>
    <col min="9" max="9" width="17" style="1" customWidth="1"/>
    <col min="10" max="10" width="26.83203125" style="1" customWidth="1"/>
    <col min="11" max="11" width="21" customWidth="1"/>
    <col min="12" max="12" width="23" customWidth="1"/>
    <col min="13" max="13" width="18.83203125" customWidth="1"/>
    <col min="14" max="14" width="20.83203125" customWidth="1"/>
    <col min="17" max="17" width="51" customWidth="1"/>
    <col min="18" max="18" width="17.33203125" customWidth="1"/>
  </cols>
  <sheetData>
    <row r="1" spans="1:19" x14ac:dyDescent="0.2">
      <c r="A1" t="s">
        <v>24</v>
      </c>
      <c r="B1" t="s">
        <v>0</v>
      </c>
      <c r="C1" t="s">
        <v>5</v>
      </c>
      <c r="D1" t="s">
        <v>6</v>
      </c>
      <c r="E1" t="s">
        <v>7</v>
      </c>
      <c r="F1" t="s">
        <v>8</v>
      </c>
      <c r="G1" t="s">
        <v>18</v>
      </c>
      <c r="H1" t="s">
        <v>19</v>
      </c>
      <c r="I1" t="s">
        <v>20</v>
      </c>
      <c r="J1" t="s">
        <v>1</v>
      </c>
      <c r="K1" s="1" t="s">
        <v>2</v>
      </c>
      <c r="L1" s="1" t="s">
        <v>13</v>
      </c>
      <c r="M1" s="1" t="s">
        <v>3</v>
      </c>
      <c r="N1" s="1" t="s">
        <v>4</v>
      </c>
      <c r="O1" t="s">
        <v>16</v>
      </c>
      <c r="P1" t="s">
        <v>17</v>
      </c>
      <c r="Q1" t="s">
        <v>28</v>
      </c>
      <c r="R1" t="s">
        <v>54</v>
      </c>
      <c r="S1" t="s">
        <v>95</v>
      </c>
    </row>
    <row r="2" spans="1:19" ht="18" customHeight="1" x14ac:dyDescent="0.2">
      <c r="A2" s="6" t="s">
        <v>25</v>
      </c>
      <c r="B2" s="6">
        <v>46048</v>
      </c>
      <c r="C2" s="7">
        <v>0.79166666666666663</v>
      </c>
      <c r="D2" s="7">
        <v>0.79166666666666663</v>
      </c>
      <c r="E2" s="7">
        <v>0.89583333333333337</v>
      </c>
      <c r="F2" s="8" t="s">
        <v>14</v>
      </c>
      <c r="G2" s="8" t="s">
        <v>21</v>
      </c>
      <c r="H2" s="14" t="s">
        <v>23</v>
      </c>
      <c r="I2" s="14" t="s">
        <v>22</v>
      </c>
      <c r="J2" s="8" t="s">
        <v>12</v>
      </c>
      <c r="K2" s="9" t="s">
        <v>104</v>
      </c>
      <c r="L2" s="11" t="s">
        <v>56</v>
      </c>
      <c r="M2" s="9" t="s">
        <v>11</v>
      </c>
      <c r="N2"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v>
      </c>
      <c r="O2" s="10" t="s">
        <v>10</v>
      </c>
      <c r="P2" s="11" t="s">
        <v>15</v>
      </c>
      <c r="Q2" s="10" t="s">
        <v>72</v>
      </c>
      <c r="R2" s="9" t="s">
        <v>9</v>
      </c>
      <c r="S2" s="9" t="s">
        <v>97</v>
      </c>
    </row>
    <row r="3" spans="1:19" ht="18" customHeight="1" x14ac:dyDescent="0.2">
      <c r="A3" s="6" t="s">
        <v>26</v>
      </c>
      <c r="B3" s="6">
        <v>46076</v>
      </c>
      <c r="C3" s="7">
        <v>0.8125</v>
      </c>
      <c r="D3" s="7">
        <v>0.83333333333333337</v>
      </c>
      <c r="E3" s="7">
        <v>0.89583333333333337</v>
      </c>
      <c r="F3" s="8" t="s">
        <v>14</v>
      </c>
      <c r="G3" s="8" t="s">
        <v>21</v>
      </c>
      <c r="H3" s="14" t="s">
        <v>23</v>
      </c>
      <c r="I3" s="14" t="s">
        <v>22</v>
      </c>
      <c r="J3" s="8" t="s">
        <v>27</v>
      </c>
      <c r="K3" s="9" t="s">
        <v>30</v>
      </c>
      <c r="L3" s="9"/>
      <c r="M3" s="9" t="s">
        <v>29</v>
      </c>
      <c r="N3"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Professor Ronald Hutton in convivial company.
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v>
      </c>
      <c r="O3" s="10" t="s">
        <v>31</v>
      </c>
      <c r="P3" s="11" t="s">
        <v>32</v>
      </c>
      <c r="Q3" s="8" t="s">
        <v>73</v>
      </c>
      <c r="R3" s="9"/>
      <c r="S3" s="9" t="s">
        <v>98</v>
      </c>
    </row>
    <row r="4" spans="1:19" x14ac:dyDescent="0.2">
      <c r="A4" s="6" t="s">
        <v>33</v>
      </c>
      <c r="B4" s="6">
        <v>46104</v>
      </c>
      <c r="C4" s="7">
        <v>0.79166666666666663</v>
      </c>
      <c r="D4" s="7">
        <v>0.8125</v>
      </c>
      <c r="E4" s="7">
        <v>0.89583333333333337</v>
      </c>
      <c r="F4" s="8" t="s">
        <v>14</v>
      </c>
      <c r="G4" s="8" t="s">
        <v>21</v>
      </c>
      <c r="H4" s="14" t="s">
        <v>23</v>
      </c>
      <c r="I4" s="14" t="s">
        <v>22</v>
      </c>
      <c r="J4" s="9" t="s">
        <v>46</v>
      </c>
      <c r="K4" s="8" t="s">
        <v>79</v>
      </c>
      <c r="L4" s="9"/>
      <c r="M4" s="9" t="s">
        <v>51</v>
      </c>
      <c r="N4" s="8" t="str">
        <f>IF(Events[[#This Row],[Speaker]]="TBC","",IF(ISBLANK(Events[[#This Row],[Talk Blurb Text]]),_xlfn.CONCAT("Join us at the top floor of the Angel Pub in Shoreditch for an enlightening talk by ",Events[[#This Row],[Speaker]]," in convivial company.",CHAR(10),Events[[#This Row],[Speaker Bio]]),Events[[#This Row],[Talk Blurb Text]]))</f>
        <v>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v>
      </c>
      <c r="O4" s="10" t="s">
        <v>78</v>
      </c>
      <c r="P4" s="11" t="s">
        <v>52</v>
      </c>
      <c r="Q4" s="8" t="s">
        <v>64</v>
      </c>
      <c r="R4" s="8" t="s">
        <v>79</v>
      </c>
      <c r="S4" s="8" t="s">
        <v>99</v>
      </c>
    </row>
    <row r="5" spans="1:19" x14ac:dyDescent="0.2">
      <c r="A5" s="6" t="s">
        <v>34</v>
      </c>
      <c r="B5" s="6">
        <v>46139</v>
      </c>
      <c r="C5" s="7">
        <v>0.79166666666666663</v>
      </c>
      <c r="D5" s="7">
        <v>0.8125</v>
      </c>
      <c r="E5" s="7">
        <v>0.89583333333333337</v>
      </c>
      <c r="F5" s="8" t="s">
        <v>14</v>
      </c>
      <c r="G5" s="8" t="s">
        <v>21</v>
      </c>
      <c r="H5" s="14" t="s">
        <v>23</v>
      </c>
      <c r="I5" s="14" t="s">
        <v>22</v>
      </c>
      <c r="J5" s="9" t="s">
        <v>42</v>
      </c>
      <c r="K5" s="9" t="s">
        <v>53</v>
      </c>
      <c r="L5" s="11" t="s">
        <v>55</v>
      </c>
      <c r="M5" s="9" t="s">
        <v>88</v>
      </c>
      <c r="N5"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John Callow in convivial company.
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v>
      </c>
      <c r="O5" s="10" t="s">
        <v>90</v>
      </c>
      <c r="P5" s="11" t="s">
        <v>89</v>
      </c>
      <c r="Q5" s="8" t="s">
        <v>65</v>
      </c>
      <c r="R5" s="8"/>
      <c r="S5" s="8" t="s">
        <v>100</v>
      </c>
    </row>
    <row r="6" spans="1:19" x14ac:dyDescent="0.2">
      <c r="A6" s="6" t="s">
        <v>35</v>
      </c>
      <c r="B6" s="6"/>
      <c r="C6" s="7">
        <v>0.79166666666666663</v>
      </c>
      <c r="D6" s="7">
        <v>0.8125</v>
      </c>
      <c r="E6" s="7">
        <v>0.89583333333333337</v>
      </c>
      <c r="F6" s="8" t="s">
        <v>14</v>
      </c>
      <c r="G6" s="8" t="s">
        <v>21</v>
      </c>
      <c r="H6" s="14" t="s">
        <v>23</v>
      </c>
      <c r="I6" s="14" t="s">
        <v>22</v>
      </c>
      <c r="J6" s="9" t="s">
        <v>43</v>
      </c>
      <c r="K6" s="9" t="s">
        <v>58</v>
      </c>
      <c r="L6" s="11" t="s">
        <v>57</v>
      </c>
      <c r="M6" s="9" t="s">
        <v>47</v>
      </c>
      <c r="N6"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Sara Hannant in convivial company.
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v>
      </c>
      <c r="O6" s="10"/>
      <c r="P6" s="11"/>
      <c r="Q6" s="8" t="s">
        <v>66</v>
      </c>
      <c r="R6" s="8"/>
      <c r="S6" s="8"/>
    </row>
    <row r="7" spans="1:19" x14ac:dyDescent="0.2">
      <c r="A7" s="6" t="s">
        <v>36</v>
      </c>
      <c r="B7" s="6">
        <v>46195</v>
      </c>
      <c r="C7" s="7">
        <v>0.79166666666666663</v>
      </c>
      <c r="D7" s="7">
        <v>0.8125</v>
      </c>
      <c r="E7" s="7">
        <v>0.89583333333333337</v>
      </c>
      <c r="F7" s="8" t="s">
        <v>14</v>
      </c>
      <c r="G7" s="8" t="s">
        <v>21</v>
      </c>
      <c r="H7" s="14" t="s">
        <v>23</v>
      </c>
      <c r="I7" s="14" t="s">
        <v>22</v>
      </c>
      <c r="J7" s="9" t="s">
        <v>44</v>
      </c>
      <c r="K7" s="9" t="s">
        <v>105</v>
      </c>
      <c r="L7" s="11" t="s">
        <v>59</v>
      </c>
      <c r="M7" s="9" t="s">
        <v>103</v>
      </c>
      <c r="N7" s="8" t="str">
        <f>IF(Events[[#This Row],[Speaker]]="TBC","",IF(ISBLANK(Events[[#This Row],[Talk Blurb Text]]),_xlfn.CONCAT("Join us at the top floor of the Angel Pub in Shoreditch for an enlightening talk by ",Events[[#This Row],[Speaker]]," in convivial company.",CHAR(10),Events[[#This Row],[Speaker Bio]]),Events[[#This Row],[Talk Blurb Text]]))</f>
        <v>Come join us for a magical evening with dancing song, magic and story as we connect to our wild spirit during the midsummer solstice season. 
Dance to enchanting music with the runes inspired by a (more recent than traditional) magical practice. Connect to the elder Futhark runes through movement and channel that energy in alignment with your intention and for the community.
We will invite in the gods and spirits of the Northern Tradition, and cosy up to story and remembrance.
At this time of year, the height Sun is at its height - it's time to collect the resources that will keep us vibrant and strong through the months ahead!
More than ever our world needs light and healing, and a way to do that is to connect to our creative selves. Allow yourself to tune in and parts of your soul to guide you.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v>
      </c>
      <c r="O7" s="10"/>
      <c r="P7" s="11" t="s">
        <v>102</v>
      </c>
      <c r="Q7" s="8" t="s">
        <v>67</v>
      </c>
      <c r="R7" s="8" t="s">
        <v>101</v>
      </c>
      <c r="S7" s="8"/>
    </row>
    <row r="8" spans="1:19" x14ac:dyDescent="0.2">
      <c r="A8" s="6" t="s">
        <v>37</v>
      </c>
      <c r="B8" s="6">
        <v>46230</v>
      </c>
      <c r="C8" s="7">
        <v>0.79166666666666663</v>
      </c>
      <c r="D8" s="7">
        <v>0.8125</v>
      </c>
      <c r="E8" s="7">
        <v>0.89583333333333337</v>
      </c>
      <c r="F8" s="8" t="s">
        <v>14</v>
      </c>
      <c r="G8" s="8" t="s">
        <v>21</v>
      </c>
      <c r="H8" s="14" t="s">
        <v>23</v>
      </c>
      <c r="I8" s="14" t="s">
        <v>22</v>
      </c>
      <c r="J8" s="9" t="s">
        <v>45</v>
      </c>
      <c r="K8" s="9" t="s">
        <v>60</v>
      </c>
      <c r="L8" s="11"/>
      <c r="M8" s="9" t="s">
        <v>47</v>
      </c>
      <c r="N8"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Caroline Wise in convivial company.
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v>
      </c>
      <c r="O8" s="10"/>
      <c r="P8" s="11" t="s">
        <v>108</v>
      </c>
      <c r="Q8" s="8" t="s">
        <v>68</v>
      </c>
      <c r="R8" s="8"/>
      <c r="S8" s="8"/>
    </row>
    <row r="9" spans="1:19" x14ac:dyDescent="0.2">
      <c r="A9" s="6" t="s">
        <v>38</v>
      </c>
      <c r="B9" s="6">
        <v>46258</v>
      </c>
      <c r="C9" s="7">
        <v>0.79166666666666663</v>
      </c>
      <c r="D9" s="7">
        <v>0.8125</v>
      </c>
      <c r="E9" s="7">
        <v>0.89583333333333337</v>
      </c>
      <c r="F9" s="8" t="s">
        <v>14</v>
      </c>
      <c r="G9" s="8" t="s">
        <v>21</v>
      </c>
      <c r="H9" s="14" t="s">
        <v>23</v>
      </c>
      <c r="I9" s="14" t="s">
        <v>22</v>
      </c>
      <c r="J9" s="9" t="s">
        <v>74</v>
      </c>
      <c r="K9" s="9" t="s">
        <v>75</v>
      </c>
      <c r="L9" s="11" t="s">
        <v>76</v>
      </c>
      <c r="M9" s="9" t="s">
        <v>77</v>
      </c>
      <c r="N9" s="8" t="str">
        <f>IF(Events[[#This Row],[Speaker]]="TBC","",IF(ISBLANK(Events[[#This Row],[Talk Blurb Text]]),_xlfn.CONCAT("Join us at the top floor of the Angel Pub in Shoreditch for an enlightening talk by ",Events[[#This Row],[Speaker]]," in convivial company.",CHAR(10),Events[[#This Row],[Speaker Bio]]),Events[[#This Row],[Talk Blurb Text]]))</f>
        <v>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v>
      </c>
      <c r="O9" s="10" t="s">
        <v>109</v>
      </c>
      <c r="P9" s="11" t="s">
        <v>110</v>
      </c>
      <c r="Q9" s="8" t="s">
        <v>69</v>
      </c>
      <c r="R9" s="8" t="s">
        <v>80</v>
      </c>
      <c r="S9" s="8"/>
    </row>
    <row r="10" spans="1:19" x14ac:dyDescent="0.2">
      <c r="A10" s="6" t="s">
        <v>39</v>
      </c>
      <c r="B10" s="6">
        <v>46293</v>
      </c>
      <c r="C10" s="7">
        <v>0.79166666666666663</v>
      </c>
      <c r="D10" s="7">
        <v>0.8125</v>
      </c>
      <c r="E10" s="7">
        <v>0.89583333333333337</v>
      </c>
      <c r="F10" s="8" t="s">
        <v>14</v>
      </c>
      <c r="G10" s="8" t="s">
        <v>21</v>
      </c>
      <c r="H10" s="14" t="s">
        <v>23</v>
      </c>
      <c r="I10" s="14" t="s">
        <v>22</v>
      </c>
      <c r="J10" s="9" t="s">
        <v>48</v>
      </c>
      <c r="K10" s="9" t="s">
        <v>61</v>
      </c>
      <c r="L10" s="11" t="s">
        <v>62</v>
      </c>
      <c r="M10" s="9" t="s">
        <v>114</v>
      </c>
      <c r="N10" s="8" t="str">
        <f>IF(Events[[#This Row],[Speaker]]="TBC","",IF(ISBLANK(Events[[#This Row],[Talk Blurb Text]]),_xlfn.CONCAT("Join us at the top floor of the Angel Pub in Shoreditch for an enlightening talk by ",Events[[#This Row],[Speaker]]," in convivial company.",CHAR(10),Events[[#This Row],[Speaker Bio]]),Events[[#This Row],[Talk Blurb Text]]))</f>
        <v>An exploration of how pop culture and the occult shape each other, featuring research insights and untold stories behind the book.
Jason Atomic is a writer/artist with a lifelong interest in the occult and pop culture.
Since 2013 he has published the occult themed underground comics and zines under the Satanic Mojo banner and is the co-founder of London’s premier dark arts and crafts fair the Satanic Flea Market, where he can also be found trading in second hand comics and books from his collection.
He designed the Alexandrian Witchcraft logo for Maxine Sanders who also invited him to illustrate The Alex Sanders Lectures, his work can be found in the collections of the Museum of Witchcraft and Magic in Boscastle, The Satanic Temple’s Salem Gallery, The Buckland Museum of Witchcraft and Magick and The Museum of The Final Judgement in Rome.
His new book “Occult Pop” is a fully illustrated 'graphic compendium of magic’ which examines the ways that occult and pop culture have influenced each other over the years. It is due out from Aeon publishing in November.
A great lover of animals, when not immersed in counterculture and comix he volunteers at the Oxfordshire Wildlife Rescue and Oxford City Farm.</v>
      </c>
      <c r="O10" s="10" t="s">
        <v>111</v>
      </c>
      <c r="P10" s="11" t="s">
        <v>112</v>
      </c>
      <c r="Q10" s="10" t="s">
        <v>115</v>
      </c>
      <c r="R10" s="8" t="s">
        <v>113</v>
      </c>
      <c r="S10" s="8"/>
    </row>
    <row r="11" spans="1:19" x14ac:dyDescent="0.2">
      <c r="A11" s="6" t="s">
        <v>40</v>
      </c>
      <c r="B11" s="6">
        <v>46321</v>
      </c>
      <c r="C11" s="7">
        <v>0.79166666666666663</v>
      </c>
      <c r="D11" s="7">
        <v>0.8125</v>
      </c>
      <c r="E11" s="7">
        <v>0.89583333333333337</v>
      </c>
      <c r="F11" s="8" t="s">
        <v>14</v>
      </c>
      <c r="G11" s="8" t="s">
        <v>21</v>
      </c>
      <c r="H11" s="14" t="s">
        <v>23</v>
      </c>
      <c r="I11" s="14" t="s">
        <v>22</v>
      </c>
      <c r="J11" s="9" t="s">
        <v>49</v>
      </c>
      <c r="K11" s="9" t="s">
        <v>63</v>
      </c>
      <c r="L11" s="9"/>
      <c r="M11" s="9" t="s">
        <v>47</v>
      </c>
      <c r="N11"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Ruth Bayer in convivial company.
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v>
      </c>
      <c r="O11" s="10"/>
      <c r="P11" s="11"/>
      <c r="Q11" s="8" t="s">
        <v>70</v>
      </c>
      <c r="R11" s="8"/>
      <c r="S11" s="8"/>
    </row>
    <row r="12" spans="1:19" x14ac:dyDescent="0.2">
      <c r="A12" s="6" t="s">
        <v>41</v>
      </c>
      <c r="B12" s="6">
        <v>46349</v>
      </c>
      <c r="C12" s="7">
        <v>0.79166666666666663</v>
      </c>
      <c r="D12" s="7">
        <v>0.8125</v>
      </c>
      <c r="E12" s="7">
        <v>0.89583333333333337</v>
      </c>
      <c r="F12" s="8" t="s">
        <v>14</v>
      </c>
      <c r="G12" s="8" t="s">
        <v>21</v>
      </c>
      <c r="H12" s="14" t="s">
        <v>23</v>
      </c>
      <c r="I12" s="14" t="s">
        <v>22</v>
      </c>
      <c r="J12" s="9" t="s">
        <v>50</v>
      </c>
      <c r="K12" s="9" t="s">
        <v>106</v>
      </c>
      <c r="L12" s="9"/>
      <c r="M12" s="9" t="s">
        <v>47</v>
      </c>
      <c r="N12" s="8" t="str">
        <f>IF(Events[[#This Row],[Speaker]]="TBC","",IF(ISBLANK(Events[[#This Row],[Talk Blurb Text]]),_xlfn.CONCAT("Join us at the top floor of the Angel Pub in Shoreditch for an enlightening talk by ",Events[[#This Row],[Speaker]]," in convivial company.",CHAR(10),Events[[#This Row],[Speaker Bio]]),Events[[#This Row],[Talk Blurb Text]]))</f>
        <v>Paul is a practicing witch of Kingfisher Coven, based in East London. His work is grounded in Wiccan thought and informed by a study of astrology, herbalism, and the tarot, with particular emphasis on their magical and spiritual applications. His practice focuses on the integration of celestial influences, plant lore, and divinatory systems within ritual and talismanic work.
Paul has presented a workshop at the 2026 Glastonbury Occult Conference and has lectured on Lunar Magic at Helgis Bar in Hackney, where he also co-devised and delivered an astrology course. His writing appears in Issue One of The Crooked Cauldron, published this year.</v>
      </c>
      <c r="O12" s="10"/>
      <c r="P12" s="11"/>
      <c r="Q12" s="8" t="s">
        <v>71</v>
      </c>
      <c r="R12" s="8" t="s">
        <v>106</v>
      </c>
      <c r="S12" s="8"/>
    </row>
    <row r="13" spans="1:19" x14ac:dyDescent="0.2">
      <c r="A13" s="6" t="s">
        <v>81</v>
      </c>
      <c r="B13" s="6"/>
      <c r="C13" s="7">
        <v>0.79166666666666663</v>
      </c>
      <c r="D13" s="7">
        <v>0.8125</v>
      </c>
      <c r="E13" s="7">
        <v>0.89583333333333337</v>
      </c>
      <c r="F13" s="8" t="s">
        <v>14</v>
      </c>
      <c r="G13" s="8" t="s">
        <v>85</v>
      </c>
      <c r="H13" s="14" t="s">
        <v>23</v>
      </c>
      <c r="I13" s="14" t="s">
        <v>22</v>
      </c>
      <c r="J13" s="9" t="s">
        <v>82</v>
      </c>
      <c r="K13" s="9"/>
      <c r="L13" s="9"/>
      <c r="M13" s="9" t="s">
        <v>47</v>
      </c>
      <c r="N13" s="9" t="str">
        <f>IF(Events[[#This Row],[Speaker]]="TBC","",IF(ISBLANK(Events[[#This Row],[Talk Blurb Text]]),_xlfn.CONCAT("Join us at the top floor of the Angel Pub in Shoreditch for an enlightening talk by ",Events[[#This Row],[Speaker]]," in convivial company.",CHAR(10),Events[[#This Row],[Speaker Bio]]),Events[[#This Row],[Talk Blurb Text]]))</f>
        <v xml:space="preserve">Join us at the top floor of the Angel Pub in Shoreditch for an enlightening talk by Deja Whitehouse in convivial company.
</v>
      </c>
      <c r="O13" s="12"/>
      <c r="P13" s="13"/>
      <c r="Q13" s="8"/>
      <c r="R13" s="8"/>
      <c r="S13" s="8"/>
    </row>
    <row r="14" spans="1:19" x14ac:dyDescent="0.2">
      <c r="A14" s="6" t="s">
        <v>83</v>
      </c>
      <c r="B14" s="6">
        <v>46167</v>
      </c>
      <c r="C14" s="7">
        <v>0.79166666666666663</v>
      </c>
      <c r="D14" s="7">
        <v>0.8125</v>
      </c>
      <c r="E14" s="7">
        <v>0.875</v>
      </c>
      <c r="F14" s="8" t="s">
        <v>14</v>
      </c>
      <c r="G14" s="8" t="s">
        <v>86</v>
      </c>
      <c r="H14" s="14" t="s">
        <v>23</v>
      </c>
      <c r="I14" s="14" t="s">
        <v>22</v>
      </c>
      <c r="J14" s="9" t="s">
        <v>84</v>
      </c>
      <c r="K14" s="9" t="s">
        <v>107</v>
      </c>
      <c r="L14" s="9"/>
      <c r="M14" s="9" t="s">
        <v>91</v>
      </c>
      <c r="N14" s="9" t="str">
        <f>IF(Events[[#This Row],[Speaker]]="TBC","",IF(ISBLANK(Events[[#This Row],[Talk Blurb Text]]),_xlfn.CONCAT("Join us at the top floor of the Angel Pub in Shoreditch for an enlightening talk by ",Events[[#This Row],[Speaker]]," in convivial company.",CHAR(10),Events[[#This Row],[Speaker Bio]]),Events[[#This Row],[Talk Blurb Text]]))</f>
        <v>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v>
      </c>
      <c r="O14" s="12" t="s">
        <v>93</v>
      </c>
      <c r="P14" s="13" t="s">
        <v>92</v>
      </c>
      <c r="Q14" s="8" t="s">
        <v>94</v>
      </c>
      <c r="R14" s="8" t="s">
        <v>87</v>
      </c>
      <c r="S14" s="8" t="s">
        <v>96</v>
      </c>
    </row>
  </sheetData>
  <phoneticPr fontId="2" type="noConversion"/>
  <hyperlinks>
    <hyperlink ref="O2" r:id="rId1" display="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xr:uid="{8F7D369C-98D4-DB46-B0F0-9DB15FA934DB}"/>
    <hyperlink ref="P2" r:id="rId2" location="location" xr:uid="{3A4D55EE-6BA5-994C-B28A-C4B393AC5348}"/>
    <hyperlink ref="P4" r:id="rId3" display="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xr:uid="{48D31F72-01C8-264C-A80D-7BE56099EB8D}"/>
    <hyperlink ref="L2" r:id="rId4" xr:uid="{8521C742-712A-104C-AE40-9FB61A03E741}"/>
    <hyperlink ref="L5" r:id="rId5" xr:uid="{C3C93ED6-F9CA-B04D-9282-0E0240DD51C5}"/>
    <hyperlink ref="L6" r:id="rId6" xr:uid="{CBEBF88F-D47F-A74B-B146-1BD8B720A539}"/>
    <hyperlink ref="L7" r:id="rId7" xr:uid="{4ACB5A19-1A0B-A040-8037-EAA52E5A06C8}"/>
    <hyperlink ref="L10" r:id="rId8" xr:uid="{83B725D6-249A-6F4A-A575-503996788FCB}"/>
    <hyperlink ref="L9" r:id="rId9" xr:uid="{09888DB6-23FA-A546-AECE-0F046D1B8ECE}"/>
    <hyperlink ref="O4" r:id="rId10" display="https://www.eventbrite.com/e/online-patricia-maccormack-queer-chaos-the-infinite-world-tickets-1984504871492?aff=oddtdtcreator&amp;fbclid=IwY2xjawQfoWtleHRuA2FlbQIxMQBzcnRjBmFwcF9pZBAyMjIwMzkxNzg4MjAwODkyAAEeYIM3RHLW9y5cg0iTiWUqgWtB4OPK5jj_EK0DvshCbMkVWKYyM72Fc1UA-_4_aem_gstUfejHGcXMN5YRsbUI5Q" xr:uid="{216F3318-6B36-6B42-8C3E-443EE99CDED1}"/>
    <hyperlink ref="O10" r:id="rId11" xr:uid="{CF570D8B-E3E2-2A4D-99BB-5E41434F2741}"/>
    <hyperlink ref="P10" r:id="rId12" xr:uid="{92E8AD44-BD0C-9043-B76A-22DE60903502}"/>
    <hyperlink ref="Q10" r:id="rId13" xr:uid="{FCFAE5FA-545F-6046-B335-DE052FDC195A}"/>
  </hyperlinks>
  <pageMargins left="0.7" right="0.7" top="0.75" bottom="0.75" header="0.3" footer="0.3"/>
  <pageSetup paperSize="9" orientation="portrait" horizontalDpi="0" verticalDpi="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D3705-FEA0-024C-8AA7-AA70310EDCB1}">
  <sheetPr codeName="Sheet2"/>
  <dimension ref="A1:D2"/>
  <sheetViews>
    <sheetView workbookViewId="0">
      <selection activeCell="B1" sqref="B1:D1"/>
    </sheetView>
  </sheetViews>
  <sheetFormatPr baseColWidth="10" defaultRowHeight="16" x14ac:dyDescent="0.2"/>
  <cols>
    <col min="4" max="4" width="11" customWidth="1"/>
  </cols>
  <sheetData>
    <row r="1" spans="1:4" x14ac:dyDescent="0.2">
      <c r="A1" t="s">
        <v>8</v>
      </c>
      <c r="B1" t="s">
        <v>18</v>
      </c>
      <c r="C1" t="s">
        <v>19</v>
      </c>
      <c r="D1" t="s">
        <v>20</v>
      </c>
    </row>
    <row r="2" spans="1:4" ht="34" x14ac:dyDescent="0.2">
      <c r="A2" s="4" t="s">
        <v>14</v>
      </c>
      <c r="B2" s="5" t="s">
        <v>21</v>
      </c>
      <c r="C2" t="s">
        <v>23</v>
      </c>
      <c r="D2" t="s">
        <v>22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Events</vt:lpstr>
      <vt:lpstr>Venues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Emmalu Fox</dc:creator>
  <cp:lastModifiedBy>Emmalu Fox</cp:lastModifiedBy>
  <dcterms:created xsi:type="dcterms:W3CDTF">2026-01-16T18:44:41Z</dcterms:created>
  <dcterms:modified xsi:type="dcterms:W3CDTF">2026-09-11T17:11:55Z</dcterms:modified>
</cp:coreProperties>
</file>